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b86e2d661be6e75/Documents/School/UMGC/BIOT670I Capstone Course/REPO/Trained-models/"/>
    </mc:Choice>
  </mc:AlternateContent>
  <xr:revisionPtr revIDLastSave="214" documentId="8_{DAE07A32-F93D-4087-BDA2-576B3F82133A}" xr6:coauthVersionLast="47" xr6:coauthVersionMax="47" xr10:uidLastSave="{C0DEDF21-BD96-493A-AC8F-A45721009891}"/>
  <bookViews>
    <workbookView xWindow="-16650" yWindow="-16320" windowWidth="29040" windowHeight="15720" xr2:uid="{86558FDB-B793-4CDC-A254-DD65741D51FE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3" i="1" l="1"/>
  <c r="J42" i="1"/>
  <c r="J41" i="1"/>
  <c r="L43" i="1"/>
  <c r="K43" i="1"/>
  <c r="L41" i="1"/>
  <c r="K41" i="1"/>
  <c r="K39" i="1"/>
  <c r="L39" i="1"/>
  <c r="M39" i="1"/>
  <c r="J39" i="1"/>
  <c r="K8" i="1"/>
  <c r="L8" i="1"/>
  <c r="M8" i="1"/>
  <c r="N8" i="1"/>
  <c r="O8" i="1"/>
  <c r="J8" i="1"/>
  <c r="C8" i="1"/>
  <c r="D8" i="1"/>
  <c r="E8" i="1"/>
  <c r="F8" i="1"/>
  <c r="G8" i="1"/>
  <c r="B8" i="1"/>
</calcChain>
</file>

<file path=xl/sharedStrings.xml><?xml version="1.0" encoding="utf-8"?>
<sst xmlns="http://schemas.openxmlformats.org/spreadsheetml/2006/main" count="55" uniqueCount="24">
  <si>
    <t>Accuracy</t>
  </si>
  <si>
    <t>Precision</t>
  </si>
  <si>
    <t>Recall</t>
  </si>
  <si>
    <t>F-1 Score</t>
  </si>
  <si>
    <t>ROC AUC</t>
  </si>
  <si>
    <t>SCORES</t>
  </si>
  <si>
    <t>PCA 64</t>
  </si>
  <si>
    <t>Test Set</t>
  </si>
  <si>
    <t>Validation Set</t>
  </si>
  <si>
    <t>PCA 50</t>
  </si>
  <si>
    <t>PCA 40</t>
  </si>
  <si>
    <t>PCA 25</t>
  </si>
  <si>
    <t>PCA 2</t>
  </si>
  <si>
    <t>Sum</t>
  </si>
  <si>
    <t>PCA 10</t>
  </si>
  <si>
    <t>Validation Set Confusion Matrix</t>
  </si>
  <si>
    <t>True Positives</t>
  </si>
  <si>
    <t>False Positives</t>
  </si>
  <si>
    <t>True Negatives</t>
  </si>
  <si>
    <t>False Negatives</t>
  </si>
  <si>
    <t>Test Set Confusion Matrix</t>
  </si>
  <si>
    <t>PCA 40 percentage distribution</t>
  </si>
  <si>
    <t>Total amount of negatives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</si>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</sst>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sz val="11"/>
      <color theme="3" tint="0.749992370372631"/>
      <name val="Aptos Narrow"/>
      <family val="2"/>
      <scheme val="minor"/>
    </font>
    <font>
      <b/>
      <sz val="11"/>
      <color theme="3" tint="0.74999237037263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9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colors>
    <mruColors>
      <color rgb="FF6699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Validation set evaluation</a:t>
            </a:r>
            <a:r>
              <a:rPr lang="en-US" baseline="0"/>
              <a:t> results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Sheet1!$A$3</c:f>
              <c:strCache>
                <c:ptCount val="1"/>
                <c:pt idx="0">
                  <c:v>Accuracy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Sheet1!$B$2:$G$2</c:f>
              <c:strCache>
                <c:ptCount val="6"/>
                <c:pt idx="0">
                  <c:v>PCA 64</c:v>
                </c:pt>
                <c:pt idx="1">
                  <c:v>PCA 50</c:v>
                </c:pt>
                <c:pt idx="2">
                  <c:v>PCA 40</c:v>
                </c:pt>
                <c:pt idx="3">
                  <c:v>PCA 25</c:v>
                </c:pt>
                <c:pt idx="4">
                  <c:v>PCA 10</c:v>
                </c:pt>
                <c:pt idx="5">
                  <c:v>PCA 2</c:v>
                </c:pt>
              </c:strCache>
            </c:strRef>
          </c:cat>
          <c:val>
            <c:numRef>
              <c:f>Sheet1!$B$3:$G$3</c:f>
              <c:numCache>
                <c:formatCode>General</c:formatCode>
                <c:ptCount val="6"/>
                <c:pt idx="0">
                  <c:v>0.69489999999999996</c:v>
                </c:pt>
                <c:pt idx="1">
                  <c:v>0.69489999999999996</c:v>
                </c:pt>
                <c:pt idx="2">
                  <c:v>0.69440000000000002</c:v>
                </c:pt>
                <c:pt idx="3">
                  <c:v>0.69159999999999999</c:v>
                </c:pt>
                <c:pt idx="4">
                  <c:v>0.65210000000000001</c:v>
                </c:pt>
                <c:pt idx="5">
                  <c:v>0.61899999999999999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2-4F62-9349-C526BF013D0D}"/>
            </c:ext>
          </c:extLst>
        </c:ser>
        <c:ser>
          <c:idx val="1"/>
          <c:order val="1"/>
          <c:tx>
            <c:strRef>
              <c:f>Sheet1!$A$4</c:f>
              <c:strCache>
                <c:ptCount val="1"/>
                <c:pt idx="0">
                  <c:v>Precision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Sheet1!$B$2:$G$2</c:f>
              <c:strCache>
                <c:ptCount val="6"/>
                <c:pt idx="0">
                  <c:v>PCA 64</c:v>
                </c:pt>
                <c:pt idx="1">
                  <c:v>PCA 50</c:v>
                </c:pt>
                <c:pt idx="2">
                  <c:v>PCA 40</c:v>
                </c:pt>
                <c:pt idx="3">
                  <c:v>PCA 25</c:v>
                </c:pt>
                <c:pt idx="4">
                  <c:v>PCA 10</c:v>
                </c:pt>
                <c:pt idx="5">
                  <c:v>PCA 2</c:v>
                </c:pt>
              </c:strCache>
            </c:strRef>
          </c:cat>
          <c:val>
            <c:numRef>
              <c:f>Sheet1!$B$4:$G$4</c:f>
              <c:numCache>
                <c:formatCode>General</c:formatCode>
                <c:ptCount val="6"/>
                <c:pt idx="0">
                  <c:v>0.73409999999999997</c:v>
                </c:pt>
                <c:pt idx="1">
                  <c:v>0.73409999999999997</c:v>
                </c:pt>
                <c:pt idx="2">
                  <c:v>0.73299999999999998</c:v>
                </c:pt>
                <c:pt idx="3">
                  <c:v>0.7359</c:v>
                </c:pt>
                <c:pt idx="4">
                  <c:v>0.70760000000000001</c:v>
                </c:pt>
                <c:pt idx="5">
                  <c:v>0.67549999999999999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2-4F62-9349-C526BF013D0D}"/>
            </c:ext>
          </c:extLst>
        </c:ser>
        <c:ser>
          <c:idx val="2"/>
          <c:order val="2"/>
          <c:tx>
            <c:strRef>
              <c:f>Sheet1!$A$5</c:f>
              <c:strCache>
                <c:ptCount val="1"/>
                <c:pt idx="0">
                  <c:v>Recall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Sheet1!$B$2:$G$2</c:f>
              <c:strCache>
                <c:ptCount val="6"/>
                <c:pt idx="0">
                  <c:v>PCA 64</c:v>
                </c:pt>
                <c:pt idx="1">
                  <c:v>PCA 50</c:v>
                </c:pt>
                <c:pt idx="2">
                  <c:v>PCA 40</c:v>
                </c:pt>
                <c:pt idx="3">
                  <c:v>PCA 25</c:v>
                </c:pt>
                <c:pt idx="4">
                  <c:v>PCA 10</c:v>
                </c:pt>
                <c:pt idx="5">
                  <c:v>PCA 2</c:v>
                </c:pt>
              </c:strCache>
            </c:strRef>
          </c:cat>
          <c:val>
            <c:numRef>
              <c:f>Sheet1!$B$5:$G$5</c:f>
              <c:numCache>
                <c:formatCode>General</c:formatCode>
                <c:ptCount val="6"/>
                <c:pt idx="0">
                  <c:v>0.68030000000000002</c:v>
                </c:pt>
                <c:pt idx="1">
                  <c:v>0.68030000000000002</c:v>
                </c:pt>
                <c:pt idx="2">
                  <c:v>0.68120000000000003</c:v>
                </c:pt>
                <c:pt idx="3">
                  <c:v>0.66749999999999998</c:v>
                </c:pt>
                <c:pt idx="4">
                  <c:v>0.60440000000000005</c:v>
                </c:pt>
                <c:pt idx="5">
                  <c:v>0.56440000000000001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B2-4F62-9349-C526BF013D0D}"/>
            </c:ext>
          </c:extLst>
        </c:ser>
        <c:ser>
          <c:idx val="3"/>
          <c:order val="3"/>
          <c:tx>
            <c:strRef>
              <c:f>Sheet1!$A$6</c:f>
              <c:strCache>
                <c:ptCount val="1"/>
                <c:pt idx="0">
                  <c:v>F-1 Score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Sheet1!$B$2:$G$2</c:f>
              <c:strCache>
                <c:ptCount val="6"/>
                <c:pt idx="0">
                  <c:v>PCA 64</c:v>
                </c:pt>
                <c:pt idx="1">
                  <c:v>PCA 50</c:v>
                </c:pt>
                <c:pt idx="2">
                  <c:v>PCA 40</c:v>
                </c:pt>
                <c:pt idx="3">
                  <c:v>PCA 25</c:v>
                </c:pt>
                <c:pt idx="4">
                  <c:v>PCA 10</c:v>
                </c:pt>
                <c:pt idx="5">
                  <c:v>PCA 2</c:v>
                </c:pt>
              </c:strCache>
            </c:strRef>
          </c:cat>
          <c:val>
            <c:numRef>
              <c:f>Sheet1!$B$6:$G$6</c:f>
              <c:numCache>
                <c:formatCode>General</c:formatCode>
                <c:ptCount val="6"/>
                <c:pt idx="0">
                  <c:v>0.70620000000000005</c:v>
                </c:pt>
                <c:pt idx="1">
                  <c:v>0.70620000000000005</c:v>
                </c:pt>
                <c:pt idx="2">
                  <c:v>0.70609999999999995</c:v>
                </c:pt>
                <c:pt idx="3">
                  <c:v>0.7</c:v>
                </c:pt>
                <c:pt idx="4">
                  <c:v>0.65200000000000002</c:v>
                </c:pt>
                <c:pt idx="5">
                  <c:v>0.61499999999999999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B2-4F62-9349-C526BF013D0D}"/>
            </c:ext>
          </c:extLst>
        </c:ser>
        <c:ser>
          <c:idx val="4"/>
          <c:order val="4"/>
          <c:tx>
            <c:strRef>
              <c:f>Sheet1!$A$7</c:f>
              <c:strCache>
                <c:ptCount val="1"/>
                <c:pt idx="0">
                  <c:v>ROC AUC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Sheet1!$B$2:$G$2</c:f>
              <c:strCache>
                <c:ptCount val="6"/>
                <c:pt idx="0">
                  <c:v>PCA 64</c:v>
                </c:pt>
                <c:pt idx="1">
                  <c:v>PCA 50</c:v>
                </c:pt>
                <c:pt idx="2">
                  <c:v>PCA 40</c:v>
                </c:pt>
                <c:pt idx="3">
                  <c:v>PCA 25</c:v>
                </c:pt>
                <c:pt idx="4">
                  <c:v>PCA 10</c:v>
                </c:pt>
                <c:pt idx="5">
                  <c:v>PCA 2</c:v>
                </c:pt>
              </c:strCache>
            </c:strRef>
          </c:cat>
          <c:val>
            <c:numRef>
              <c:f>Sheet1!$B$7:$G$7</c:f>
              <c:numCache>
                <c:formatCode>General</c:formatCode>
                <c:ptCount val="6"/>
                <c:pt idx="0">
                  <c:v>0.77659999999999996</c:v>
                </c:pt>
                <c:pt idx="1">
                  <c:v>0.77649999999999997</c:v>
                </c:pt>
                <c:pt idx="2">
                  <c:v>0.77580000000000005</c:v>
                </c:pt>
                <c:pt idx="3">
                  <c:v>0.76770000000000005</c:v>
                </c:pt>
                <c:pt idx="4">
                  <c:v>0.72230000000000005</c:v>
                </c:pt>
                <c:pt idx="5">
                  <c:v>0.67210000000000003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B2-4F62-9349-C526BF013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4429615"/>
        <c:axId val="414430575"/>
      </c:barChart>
      <c:lineChart>
        <c:grouping val="standard"/>
        <c:varyColors val="0"/>
        <c:ser>
          <c:idx val="5"/>
          <c:order val="5"/>
          <c:tx>
            <c:strRef>
              <c:f>Sheet1!$A$8</c:f>
              <c:strCache>
                <c:ptCount val="1"/>
                <c:pt idx="0">
                  <c:v>Sum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Sheet1!$B$2:$G$2</c:f>
              <c:strCache>
                <c:ptCount val="6"/>
                <c:pt idx="0">
                  <c:v>PCA 64</c:v>
                </c:pt>
                <c:pt idx="1">
                  <c:v>PCA 50</c:v>
                </c:pt>
                <c:pt idx="2">
                  <c:v>PCA 40</c:v>
                </c:pt>
                <c:pt idx="3">
                  <c:v>PCA 25</c:v>
                </c:pt>
                <c:pt idx="4">
                  <c:v>PCA 10</c:v>
                </c:pt>
                <c:pt idx="5">
                  <c:v>PCA 2</c:v>
                </c:pt>
              </c:strCache>
            </c:strRef>
          </c:cat>
          <c:val>
            <c:numRef>
              <c:f>Sheet1!$B$8:$G$8</c:f>
              <c:numCache>
                <c:formatCode>General</c:formatCode>
                <c:ptCount val="6"/>
                <c:pt idx="0">
                  <c:v>3.5920999999999994</c:v>
                </c:pt>
                <c:pt idx="1">
                  <c:v>3.5919999999999996</c:v>
                </c:pt>
                <c:pt idx="2">
                  <c:v>3.5905000000000005</c:v>
                </c:pt>
                <c:pt idx="3">
                  <c:v>3.5627</c:v>
                </c:pt>
                <c:pt idx="4">
                  <c:v>3.3384000000000005</c:v>
                </c:pt>
                <c:pt idx="5">
                  <c:v>3.1459999999999999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1B2-4F62-9349-C526BF013D0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84425167"/>
        <c:axId val="584424207"/>
      </c:lineChart>
      <c:catAx>
        <c:axId val="4144296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PCA components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430575"/>
        <c:crosses val="autoZero"/>
        <c:auto val="1"/>
        <c:lblAlgn val="ctr"/>
        <c:lblOffset val="100"/>
        <c:noMultiLvlLbl val="0"/>
      </c:catAx>
      <c:valAx>
        <c:axId val="41443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Scores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429615"/>
        <c:crosses val="autoZero"/>
        <c:crossBetween val="between"/>
      </c:valAx>
      <c:valAx>
        <c:axId val="58442420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4425167"/>
        <c:crosses val="max"/>
        <c:crossBetween val="between"/>
      </c:valAx>
      <c:catAx>
        <c:axId val="58442516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8442420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 set evaluation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Sheet1!$I$3</c:f>
              <c:strCache>
                <c:ptCount val="1"/>
                <c:pt idx="0">
                  <c:v>Accuracy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Sheet1!$J$2:$O$2</c:f>
              <c:strCache>
                <c:ptCount val="6"/>
                <c:pt idx="0">
                  <c:v>PCA 64</c:v>
                </c:pt>
                <c:pt idx="1">
                  <c:v>PCA 50</c:v>
                </c:pt>
                <c:pt idx="2">
                  <c:v>PCA 40</c:v>
                </c:pt>
                <c:pt idx="3">
                  <c:v>PCA 25</c:v>
                </c:pt>
                <c:pt idx="4">
                  <c:v>PCA 10</c:v>
                </c:pt>
                <c:pt idx="5">
                  <c:v>PCA 2</c:v>
                </c:pt>
              </c:strCache>
            </c:strRef>
          </c:cat>
          <c:val>
            <c:numRef>
              <c:f>Sheet1!$J$3:$O$3</c:f>
              <c:numCache>
                <c:formatCode>General</c:formatCode>
                <c:ptCount val="6"/>
                <c:pt idx="0">
                  <c:v>0.71279999999999999</c:v>
                </c:pt>
                <c:pt idx="1">
                  <c:v>0.71189999999999998</c:v>
                </c:pt>
                <c:pt idx="2">
                  <c:v>0.70960000000000001</c:v>
                </c:pt>
                <c:pt idx="3">
                  <c:v>0.69940000000000002</c:v>
                </c:pt>
                <c:pt idx="4">
                  <c:v>0.70130000000000003</c:v>
                </c:pt>
                <c:pt idx="5">
                  <c:v>0.68430000000000002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C2-46C3-80CF-74BC9B1E8559}"/>
            </c:ext>
          </c:extLst>
        </c:ser>
        <c:ser>
          <c:idx val="1"/>
          <c:order val="1"/>
          <c:tx>
            <c:strRef>
              <c:f>Sheet1!$I$4</c:f>
              <c:strCache>
                <c:ptCount val="1"/>
                <c:pt idx="0">
                  <c:v>Precision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Sheet1!$J$2:$O$2</c:f>
              <c:strCache>
                <c:ptCount val="6"/>
                <c:pt idx="0">
                  <c:v>PCA 64</c:v>
                </c:pt>
                <c:pt idx="1">
                  <c:v>PCA 50</c:v>
                </c:pt>
                <c:pt idx="2">
                  <c:v>PCA 40</c:v>
                </c:pt>
                <c:pt idx="3">
                  <c:v>PCA 25</c:v>
                </c:pt>
                <c:pt idx="4">
                  <c:v>PCA 10</c:v>
                </c:pt>
                <c:pt idx="5">
                  <c:v>PCA 2</c:v>
                </c:pt>
              </c:strCache>
            </c:strRef>
          </c:cat>
          <c:val>
            <c:numRef>
              <c:f>Sheet1!$J$4:$O$4</c:f>
              <c:numCache>
                <c:formatCode>General</c:formatCode>
                <c:ptCount val="6"/>
                <c:pt idx="0">
                  <c:v>0.68510000000000004</c:v>
                </c:pt>
                <c:pt idx="1">
                  <c:v>0.68410000000000004</c:v>
                </c:pt>
                <c:pt idx="2">
                  <c:v>0.68269999999999997</c:v>
                </c:pt>
                <c:pt idx="3">
                  <c:v>0.67330000000000001</c:v>
                </c:pt>
                <c:pt idx="4">
                  <c:v>0.68389999999999995</c:v>
                </c:pt>
                <c:pt idx="5">
                  <c:v>0.6694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C2-46C3-80CF-74BC9B1E8559}"/>
            </c:ext>
          </c:extLst>
        </c:ser>
        <c:ser>
          <c:idx val="2"/>
          <c:order val="2"/>
          <c:tx>
            <c:strRef>
              <c:f>Sheet1!$I$5</c:f>
              <c:strCache>
                <c:ptCount val="1"/>
                <c:pt idx="0">
                  <c:v>Recall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Sheet1!$J$2:$O$2</c:f>
              <c:strCache>
                <c:ptCount val="6"/>
                <c:pt idx="0">
                  <c:v>PCA 64</c:v>
                </c:pt>
                <c:pt idx="1">
                  <c:v>PCA 50</c:v>
                </c:pt>
                <c:pt idx="2">
                  <c:v>PCA 40</c:v>
                </c:pt>
                <c:pt idx="3">
                  <c:v>PCA 25</c:v>
                </c:pt>
                <c:pt idx="4">
                  <c:v>PCA 10</c:v>
                </c:pt>
                <c:pt idx="5">
                  <c:v>PCA 2</c:v>
                </c:pt>
              </c:strCache>
            </c:strRef>
          </c:cat>
          <c:val>
            <c:numRef>
              <c:f>Sheet1!$J$5:$O$5</c:f>
              <c:numCache>
                <c:formatCode>General</c:formatCode>
                <c:ptCount val="6"/>
                <c:pt idx="0">
                  <c:v>0.83599999999999997</c:v>
                </c:pt>
                <c:pt idx="1">
                  <c:v>0.83599999999999997</c:v>
                </c:pt>
                <c:pt idx="2">
                  <c:v>0.83250000000000002</c:v>
                </c:pt>
                <c:pt idx="3">
                  <c:v>0.82809999999999995</c:v>
                </c:pt>
                <c:pt idx="4">
                  <c:v>0.79910000000000003</c:v>
                </c:pt>
                <c:pt idx="5">
                  <c:v>0.78510000000000002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C2-46C3-80CF-74BC9B1E8559}"/>
            </c:ext>
          </c:extLst>
        </c:ser>
        <c:ser>
          <c:idx val="3"/>
          <c:order val="3"/>
          <c:tx>
            <c:strRef>
              <c:f>Sheet1!$I$6</c:f>
              <c:strCache>
                <c:ptCount val="1"/>
                <c:pt idx="0">
                  <c:v>F-1 Score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Sheet1!$J$2:$O$2</c:f>
              <c:strCache>
                <c:ptCount val="6"/>
                <c:pt idx="0">
                  <c:v>PCA 64</c:v>
                </c:pt>
                <c:pt idx="1">
                  <c:v>PCA 50</c:v>
                </c:pt>
                <c:pt idx="2">
                  <c:v>PCA 40</c:v>
                </c:pt>
                <c:pt idx="3">
                  <c:v>PCA 25</c:v>
                </c:pt>
                <c:pt idx="4">
                  <c:v>PCA 10</c:v>
                </c:pt>
                <c:pt idx="5">
                  <c:v>PCA 2</c:v>
                </c:pt>
              </c:strCache>
            </c:strRef>
          </c:cat>
          <c:val>
            <c:numRef>
              <c:f>Sheet1!$J$6:$O$6</c:f>
              <c:numCache>
                <c:formatCode>General</c:formatCode>
                <c:ptCount val="6"/>
                <c:pt idx="0">
                  <c:v>0.75309999999999999</c:v>
                </c:pt>
                <c:pt idx="1">
                  <c:v>0.75249999999999995</c:v>
                </c:pt>
                <c:pt idx="2">
                  <c:v>0.75019999999999998</c:v>
                </c:pt>
                <c:pt idx="3">
                  <c:v>0.74270000000000003</c:v>
                </c:pt>
                <c:pt idx="4">
                  <c:v>0.73709999999999998</c:v>
                </c:pt>
                <c:pt idx="5">
                  <c:v>0.72260000000000002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C2-46C3-80CF-74BC9B1E8559}"/>
            </c:ext>
          </c:extLst>
        </c:ser>
        <c:ser>
          <c:idx val="4"/>
          <c:order val="4"/>
          <c:tx>
            <c:strRef>
              <c:f>Sheet1!$I$7</c:f>
              <c:strCache>
                <c:ptCount val="1"/>
                <c:pt idx="0">
                  <c:v>ROC AUC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Sheet1!$J$2:$O$2</c:f>
              <c:strCache>
                <c:ptCount val="6"/>
                <c:pt idx="0">
                  <c:v>PCA 64</c:v>
                </c:pt>
                <c:pt idx="1">
                  <c:v>PCA 50</c:v>
                </c:pt>
                <c:pt idx="2">
                  <c:v>PCA 40</c:v>
                </c:pt>
                <c:pt idx="3">
                  <c:v>PCA 25</c:v>
                </c:pt>
                <c:pt idx="4">
                  <c:v>PCA 10</c:v>
                </c:pt>
                <c:pt idx="5">
                  <c:v>PCA 2</c:v>
                </c:pt>
              </c:strCache>
            </c:strRef>
          </c:cat>
          <c:val>
            <c:numRef>
              <c:f>Sheet1!$J$7:$O$7</c:f>
              <c:numCache>
                <c:formatCode>General</c:formatCode>
                <c:ptCount val="6"/>
                <c:pt idx="0">
                  <c:v>0.79930000000000001</c:v>
                </c:pt>
                <c:pt idx="1">
                  <c:v>0.79930000000000001</c:v>
                </c:pt>
                <c:pt idx="2">
                  <c:v>0.79949999999999999</c:v>
                </c:pt>
                <c:pt idx="3">
                  <c:v>0.78959999999999997</c:v>
                </c:pt>
                <c:pt idx="4">
                  <c:v>0.76</c:v>
                </c:pt>
                <c:pt idx="5">
                  <c:v>0.76719999999999999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5C2-46C3-80CF-74BC9B1E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2972415"/>
        <c:axId val="582971455"/>
      </c:barChart>
      <c:lineChart>
        <c:grouping val="standard"/>
        <c:varyColors val="0"/>
        <c:ser>
          <c:idx val="5"/>
          <c:order val="5"/>
          <c:tx>
            <c:strRef>
              <c:f>Sheet1!$I$8</c:f>
              <c:strCache>
                <c:ptCount val="1"/>
                <c:pt idx="0">
                  <c:v>Sum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Sheet1!$J$2:$O$2</c:f>
              <c:strCache>
                <c:ptCount val="6"/>
                <c:pt idx="0">
                  <c:v>PCA 64</c:v>
                </c:pt>
                <c:pt idx="1">
                  <c:v>PCA 50</c:v>
                </c:pt>
                <c:pt idx="2">
                  <c:v>PCA 40</c:v>
                </c:pt>
                <c:pt idx="3">
                  <c:v>PCA 25</c:v>
                </c:pt>
                <c:pt idx="4">
                  <c:v>PCA 10</c:v>
                </c:pt>
                <c:pt idx="5">
                  <c:v>PCA 2</c:v>
                </c:pt>
              </c:strCache>
            </c:strRef>
          </c:cat>
          <c:val>
            <c:numRef>
              <c:f>Sheet1!$J$8:$O$8</c:f>
              <c:numCache>
                <c:formatCode>General</c:formatCode>
                <c:ptCount val="6"/>
                <c:pt idx="0">
                  <c:v>3.7862999999999998</c:v>
                </c:pt>
                <c:pt idx="1">
                  <c:v>3.7837999999999998</c:v>
                </c:pt>
                <c:pt idx="2">
                  <c:v>3.7745000000000002</c:v>
                </c:pt>
                <c:pt idx="3">
                  <c:v>3.7331000000000003</c:v>
                </c:pt>
                <c:pt idx="4">
                  <c:v>3.6814</c:v>
                </c:pt>
                <c:pt idx="5">
                  <c:v>3.6285999999999996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5C2-46C3-80CF-74BC9B1E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6156639"/>
        <c:axId val="616145599"/>
      </c:lineChart>
      <c:catAx>
        <c:axId val="5829724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PCA components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2971455"/>
        <c:crosses val="autoZero"/>
        <c:auto val="1"/>
        <c:lblAlgn val="ctr"/>
        <c:lblOffset val="100"/>
        <c:noMultiLvlLbl val="0"/>
      </c:catAx>
      <c:valAx>
        <c:axId val="582971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Scores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2972415"/>
        <c:crosses val="autoZero"/>
        <c:crossBetween val="between"/>
      </c:valAx>
      <c:valAx>
        <c:axId val="616145599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6156639"/>
        <c:crosses val="max"/>
        <c:crossBetween val="between"/>
      </c:valAx>
      <c:catAx>
        <c:axId val="61615663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614559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11</xdr:row>
      <xdr:rowOff>23812</xdr:rowOff>
    </xdr:from>
    <xdr:to>
      <xdr:col>5</xdr:col>
      <xdr:colOff>381000</xdr:colOff>
      <xdr:row>25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B203C0-6E8B-5476-94E1-442351B674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409575</xdr:colOff>
      <xdr:row>10</xdr:row>
      <xdr:rowOff>100012</xdr:rowOff>
    </xdr:from>
    <xdr:to>
      <xdr:col>13</xdr:col>
      <xdr:colOff>9525</xdr:colOff>
      <xdr:row>24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5C852FF-A05C-2C2F-2CF9-53098F6F81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EF4665-B1BE-410B-9F1D-0FDC2A1A283D}" name="Table1" displayName="Table1" ref="A2:G8" totalsRowShown="0">
  <autoFilter ref="A2:G8" xr:uid="{43EF4665-B1BE-410B-9F1D-0FDC2A1A283D}"/>
  <tableColumns count="7">
    <tableColumn id="1" xr3:uid="{A0175601-023C-44A9-AFAD-E28987FCC334}" name="SCORES"/>
    <tableColumn id="2" xr3:uid="{999830DA-0E1F-4583-B96F-121DEB13FB6B}" name="PCA 64"/>
    <tableColumn id="3" xr3:uid="{BB2D61D1-A81C-476F-85BB-08262E9BEBA6}" name="PCA 50"/>
    <tableColumn id="4" xr3:uid="{B17438E1-8680-4274-B8C9-6E8EAFC23BFD}" name="PCA 40"/>
    <tableColumn id="5" xr3:uid="{77519B03-7C10-4C44-AF92-E09118C8FDBF}" name="PCA 25"/>
    <tableColumn id="6" xr3:uid="{0D7DE1D4-867D-4054-8409-7E3E2DE3EEFD}" name="PCA 10"/>
    <tableColumn id="7" xr3:uid="{B60B46C9-0BDA-46EF-AA47-775D5128D66F}" name="PCA 2"/>
  </tableColumns>
  <tableStyleInfo name="TableStyleMedium2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467B24-8FE4-476E-9C76-7247D924C92C}" name="Table2" displayName="Table2" ref="I2:O8" totalsRowShown="0" headerRowDxfId="8" dataDxfId="7">
  <autoFilter ref="I2:O8" xr:uid="{AC467B24-8FE4-476E-9C76-7247D924C92C}"/>
  <tableColumns count="7">
    <tableColumn id="1" xr3:uid="{44E9CBAF-4134-4EEC-85AF-E84FB1E8A41A}" name="SCORES" dataDxfId="6"/>
    <tableColumn id="2" xr3:uid="{DB4EE74C-A6D4-44D4-B434-3BE4BD1BD32C}" name="PCA 64" dataDxfId="5"/>
    <tableColumn id="3" xr3:uid="{BA1B3766-B0FC-4025-A027-560E84028D7C}" name="PCA 50" dataDxfId="4"/>
    <tableColumn id="4" xr3:uid="{50C2FD1F-33D6-4F91-9263-325E7EE30CCB}" name="PCA 40" dataDxfId="3"/>
    <tableColumn id="5" xr3:uid="{66CBA766-D30C-4246-AEE2-0B417E5A5CC0}" name="PCA 25" dataDxfId="2"/>
    <tableColumn id="6" xr3:uid="{BC871FD5-BBCC-44E9-9631-ADFA1822F1CE}" name="PCA 10" dataDxfId="1"/>
    <tableColumn id="7" xr3:uid="{A2194C3B-16DA-4C70-AE3C-8EED8D7F087B}" name="PCA 2" dataDxfId="0"/>
  </tableColumns>
  <tableStyleInfo name="TableStyleMedium2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09EEDB-84E6-4001-B817-1A10CE4DA006}" name="Table146" displayName="Table146" ref="A31:E37" totalsRowShown="0">
  <autoFilter ref="A31:E37" xr:uid="{8109EEDB-84E6-4001-B817-1A10CE4DA006}"/>
  <tableColumns count="5">
    <tableColumn id="1" xr3:uid="{A37E689F-7063-4826-AA05-1FA62024E02B}" name="SCORES"/>
    <tableColumn id="2" xr3:uid="{518E89B4-AA3F-4697-80ED-3A5EB93740BC}" name="True Positives"/>
    <tableColumn id="3" xr3:uid="{2CE59322-CE7E-4035-88A6-B3C0E520471E}" name="False Positives"/>
    <tableColumn id="4" xr3:uid="{310CDF60-814C-4277-9D82-0E78210F4763}" name="True Negatives"/>
    <tableColumn id="5" xr3:uid="{9BA7D505-DE21-427B-BBF7-EA7316A4A27B}" name="False Negatives"/>
  </tableColumns>
  <tableStyleInfo name="TableStyleMedium2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127191D-EA31-4974-B585-E65996A29C81}" name="Table1467" displayName="Table1467" ref="I31:M37" totalsRowShown="0">
  <autoFilter ref="I31:M37" xr:uid="{7127191D-EA31-4974-B585-E65996A29C81}"/>
  <tableColumns count="5">
    <tableColumn id="1" xr3:uid="{2C9FA167-DD00-4E74-81EA-224F931D2F4F}" name="SCORES"/>
    <tableColumn id="2" xr3:uid="{A382C0B6-2CD3-41E3-938D-79B9B93A8A41}" name="True Positives"/>
    <tableColumn id="3" xr3:uid="{D5136BFC-ED20-423C-8A89-A8618598ADB6}" name="False Positives"/>
    <tableColumn id="4" xr3:uid="{1C7C265D-718D-4B13-9F67-AE3369AC9CE8}" name="True Negatives"/>
    <tableColumn id="5" xr3:uid="{675FDA37-CD24-4E7B-999A-15F33132B920}" name="False Negatives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5C2-2EDB-454D-8ADD-270B8EA360B9}">
  <dimension ref="A1:O43"/>
  <sheetViews>
    <sheetView tabSelected="1" topLeftCell="A9" zoomScaleNormal="100" workbookViewId="0">
      <selection activeCell="M44" sqref="M44"/>
    </sheetView>
  </sheetViews>
  <sheetFormatPr defaultRowHeight="15" x14ac:dyDescent="0.25"/>
  <cols>
    <col min="1" max="1" width="12.28515625" customWidth="1"/>
    <col min="2" max="7" width="15.7109375" customWidth="1"/>
    <col min="8" max="8" width="3.140625" customWidth="1"/>
    <col min="9" max="9" width="11.7109375" customWidth="1"/>
    <col min="10" max="15" width="15.7109375" customWidth="1"/>
  </cols>
  <sheetData>
    <row r="1" spans="1:15" x14ac:dyDescent="0.25">
      <c r="A1" s="2" t="s">
        <v>8</v>
      </c>
      <c r="B1" s="4"/>
      <c r="C1" s="4"/>
      <c r="D1" s="4"/>
      <c r="E1" s="4"/>
      <c r="F1" s="4"/>
      <c r="G1" s="4"/>
      <c r="I1" s="2" t="s">
        <v>7</v>
      </c>
      <c r="J1" s="4"/>
      <c r="K1" s="4"/>
      <c r="L1" s="4"/>
      <c r="M1" s="4"/>
      <c r="N1" s="4"/>
      <c r="O1" s="4"/>
    </row>
    <row r="2" spans="1:15" x14ac:dyDescent="0.25">
      <c r="A2" t="s">
        <v>5</v>
      </c>
      <c r="B2" t="s">
        <v>6</v>
      </c>
      <c r="C2" t="s">
        <v>9</v>
      </c>
      <c r="D2" t="s">
        <v>10</v>
      </c>
      <c r="E2" t="s">
        <v>11</v>
      </c>
      <c r="F2" t="s">
        <v>14</v>
      </c>
      <c r="G2" t="s">
        <v>12</v>
      </c>
      <c r="I2" s="1" t="s">
        <v>5</v>
      </c>
      <c r="J2" s="1" t="s">
        <v>6</v>
      </c>
      <c r="K2" s="1" t="s">
        <v>9</v>
      </c>
      <c r="L2" s="1" t="s">
        <v>10</v>
      </c>
      <c r="M2" s="1" t="s">
        <v>11</v>
      </c>
      <c r="N2" s="1" t="s">
        <v>14</v>
      </c>
      <c r="O2" s="1" t="s">
        <v>12</v>
      </c>
    </row>
    <row r="3" spans="1:15" x14ac:dyDescent="0.25">
      <c r="A3" t="s">
        <v>0</v>
      </c>
      <c r="B3">
        <v>0.69489999999999996</v>
      </c>
      <c r="C3">
        <v>0.69489999999999996</v>
      </c>
      <c r="D3">
        <v>0.69440000000000002</v>
      </c>
      <c r="E3">
        <v>0.69159999999999999</v>
      </c>
      <c r="F3">
        <v>0.65210000000000001</v>
      </c>
      <c r="G3">
        <v>0.61899999999999999</v>
      </c>
      <c r="I3" s="1" t="s">
        <v>0</v>
      </c>
      <c r="J3" s="1">
        <v>0.71279999999999999</v>
      </c>
      <c r="K3" s="1">
        <v>0.71189999999999998</v>
      </c>
      <c r="L3" s="1">
        <v>0.70960000000000001</v>
      </c>
      <c r="M3" s="1">
        <v>0.69940000000000002</v>
      </c>
      <c r="N3" s="1">
        <v>0.70130000000000003</v>
      </c>
      <c r="O3" s="1">
        <v>0.68430000000000002</v>
      </c>
    </row>
    <row r="4" spans="1:15" x14ac:dyDescent="0.25">
      <c r="A4" t="s">
        <v>1</v>
      </c>
      <c r="B4">
        <v>0.73409999999999997</v>
      </c>
      <c r="C4">
        <v>0.73409999999999997</v>
      </c>
      <c r="D4">
        <v>0.73299999999999998</v>
      </c>
      <c r="E4">
        <v>0.7359</v>
      </c>
      <c r="F4">
        <v>0.70760000000000001</v>
      </c>
      <c r="G4">
        <v>0.67549999999999999</v>
      </c>
      <c r="I4" s="1" t="s">
        <v>1</v>
      </c>
      <c r="J4" s="1">
        <v>0.68510000000000004</v>
      </c>
      <c r="K4" s="1">
        <v>0.68410000000000004</v>
      </c>
      <c r="L4" s="1">
        <v>0.68269999999999997</v>
      </c>
      <c r="M4" s="1">
        <v>0.67330000000000001</v>
      </c>
      <c r="N4" s="1">
        <v>0.68389999999999995</v>
      </c>
      <c r="O4" s="1">
        <v>0.6694</v>
      </c>
    </row>
    <row r="5" spans="1:15" x14ac:dyDescent="0.25">
      <c r="A5" t="s">
        <v>2</v>
      </c>
      <c r="B5">
        <v>0.68030000000000002</v>
      </c>
      <c r="C5">
        <v>0.68030000000000002</v>
      </c>
      <c r="D5">
        <v>0.68120000000000003</v>
      </c>
      <c r="E5">
        <v>0.66749999999999998</v>
      </c>
      <c r="F5">
        <v>0.60440000000000005</v>
      </c>
      <c r="G5">
        <v>0.56440000000000001</v>
      </c>
      <c r="I5" s="1" t="s">
        <v>2</v>
      </c>
      <c r="J5" s="1">
        <v>0.83599999999999997</v>
      </c>
      <c r="K5" s="1">
        <v>0.83599999999999997</v>
      </c>
      <c r="L5" s="1">
        <v>0.83250000000000002</v>
      </c>
      <c r="M5" s="1">
        <v>0.82809999999999995</v>
      </c>
      <c r="N5" s="1">
        <v>0.79910000000000003</v>
      </c>
      <c r="O5" s="1">
        <v>0.78510000000000002</v>
      </c>
    </row>
    <row r="6" spans="1:15" x14ac:dyDescent="0.25">
      <c r="A6" t="s">
        <v>3</v>
      </c>
      <c r="B6">
        <v>0.70620000000000005</v>
      </c>
      <c r="C6">
        <v>0.70620000000000005</v>
      </c>
      <c r="D6">
        <v>0.70609999999999995</v>
      </c>
      <c r="E6">
        <v>0.7</v>
      </c>
      <c r="F6">
        <v>0.65200000000000002</v>
      </c>
      <c r="G6">
        <v>0.61499999999999999</v>
      </c>
      <c r="I6" s="1" t="s">
        <v>3</v>
      </c>
      <c r="J6" s="1">
        <v>0.75309999999999999</v>
      </c>
      <c r="K6" s="1">
        <v>0.75249999999999995</v>
      </c>
      <c r="L6" s="1">
        <v>0.75019999999999998</v>
      </c>
      <c r="M6" s="1">
        <v>0.74270000000000003</v>
      </c>
      <c r="N6" s="1">
        <v>0.73709999999999998</v>
      </c>
      <c r="O6" s="1">
        <v>0.72260000000000002</v>
      </c>
    </row>
    <row r="7" spans="1:15" x14ac:dyDescent="0.25">
      <c r="A7" t="s">
        <v>4</v>
      </c>
      <c r="B7">
        <v>0.77659999999999996</v>
      </c>
      <c r="C7">
        <v>0.77649999999999997</v>
      </c>
      <c r="D7">
        <v>0.77580000000000005</v>
      </c>
      <c r="E7">
        <v>0.76770000000000005</v>
      </c>
      <c r="F7">
        <v>0.72230000000000005</v>
      </c>
      <c r="G7">
        <v>0.67210000000000003</v>
      </c>
      <c r="I7" s="1" t="s">
        <v>4</v>
      </c>
      <c r="J7" s="1">
        <v>0.79930000000000001</v>
      </c>
      <c r="K7" s="1">
        <v>0.79930000000000001</v>
      </c>
      <c r="L7" s="1">
        <v>0.79949999999999999</v>
      </c>
      <c r="M7" s="1">
        <v>0.78959999999999997</v>
      </c>
      <c r="N7" s="1">
        <v>0.76</v>
      </c>
      <c r="O7" s="1">
        <v>0.76719999999999999</v>
      </c>
    </row>
    <row r="8" spans="1:15" x14ac:dyDescent="0.25">
      <c r="A8" t="s">
        <v>13</v>
      </c>
      <c r="B8">
        <f>SUM(B3:B7)</f>
        <v>3.5920999999999994</v>
      </c>
      <c r="C8">
        <f t="shared" ref="C8:G8" si="0">SUM(C3:C7)</f>
        <v>3.5919999999999996</v>
      </c>
      <c r="D8">
        <f t="shared" si="0"/>
        <v>3.5905000000000005</v>
      </c>
      <c r="E8">
        <f t="shared" si="0"/>
        <v>3.5627</v>
      </c>
      <c r="F8">
        <f t="shared" si="0"/>
        <v>3.3384000000000005</v>
      </c>
      <c r="G8">
        <f t="shared" si="0"/>
        <v>3.1459999999999999</v>
      </c>
      <c r="I8" s="1" t="s">
        <v>13</v>
      </c>
      <c r="J8" s="1">
        <f>SUM(J3:J7)</f>
        <v>3.7862999999999998</v>
      </c>
      <c r="K8" s="1">
        <f t="shared" ref="K8:O8" si="1">SUM(K3:K7)</f>
        <v>3.7837999999999998</v>
      </c>
      <c r="L8" s="1">
        <f t="shared" si="1"/>
        <v>3.7745000000000002</v>
      </c>
      <c r="M8" s="1">
        <f t="shared" si="1"/>
        <v>3.7331000000000003</v>
      </c>
      <c r="N8" s="1">
        <f t="shared" si="1"/>
        <v>3.6814</v>
      </c>
      <c r="O8" s="1">
        <f t="shared" si="1"/>
        <v>3.6285999999999996</v>
      </c>
    </row>
    <row r="30" spans="1:15" x14ac:dyDescent="0.25">
      <c r="A30" s="2" t="s">
        <v>15</v>
      </c>
      <c r="B30" s="3"/>
      <c r="C30" s="3"/>
      <c r="D30" s="3"/>
      <c r="E30" s="3"/>
      <c r="I30" s="2" t="s">
        <v>20</v>
      </c>
      <c r="J30" s="2"/>
      <c r="K30" s="2"/>
      <c r="L30" s="2"/>
      <c r="M30" s="2"/>
      <c r="O30">
        <v>2176</v>
      </c>
    </row>
    <row r="31" spans="1:15" x14ac:dyDescent="0.25">
      <c r="A31" t="s">
        <v>5</v>
      </c>
      <c r="B31" t="s">
        <v>16</v>
      </c>
      <c r="C31" t="s">
        <v>17</v>
      </c>
      <c r="D31" t="s">
        <v>18</v>
      </c>
      <c r="E31" t="s">
        <v>19</v>
      </c>
      <c r="I31" t="s">
        <v>5</v>
      </c>
      <c r="J31" t="s">
        <v>16</v>
      </c>
      <c r="K31" t="s">
        <v>17</v>
      </c>
      <c r="L31" t="s">
        <v>18</v>
      </c>
      <c r="M31" t="s">
        <v>19</v>
      </c>
    </row>
    <row r="32" spans="1:15" x14ac:dyDescent="0.25">
      <c r="A32" t="s">
        <v>6</v>
      </c>
      <c r="B32">
        <v>798</v>
      </c>
      <c r="C32">
        <v>289</v>
      </c>
      <c r="D32">
        <v>714</v>
      </c>
      <c r="E32">
        <v>375</v>
      </c>
      <c r="I32" t="s">
        <v>6</v>
      </c>
      <c r="J32">
        <v>953</v>
      </c>
      <c r="K32">
        <v>438</v>
      </c>
      <c r="L32">
        <v>598</v>
      </c>
      <c r="M32">
        <v>187</v>
      </c>
    </row>
    <row r="33" spans="1:13" x14ac:dyDescent="0.25">
      <c r="A33" t="s">
        <v>9</v>
      </c>
      <c r="B33">
        <v>798</v>
      </c>
      <c r="C33">
        <v>289</v>
      </c>
      <c r="D33">
        <v>714</v>
      </c>
      <c r="E33">
        <v>375</v>
      </c>
      <c r="I33" t="s">
        <v>9</v>
      </c>
      <c r="J33">
        <v>953</v>
      </c>
      <c r="K33">
        <v>440</v>
      </c>
      <c r="L33">
        <v>596</v>
      </c>
      <c r="M33">
        <v>187</v>
      </c>
    </row>
    <row r="34" spans="1:13" x14ac:dyDescent="0.25">
      <c r="A34" t="s">
        <v>10</v>
      </c>
      <c r="B34">
        <v>799</v>
      </c>
      <c r="C34">
        <v>291</v>
      </c>
      <c r="D34">
        <v>712</v>
      </c>
      <c r="E34">
        <v>374</v>
      </c>
      <c r="I34" t="s">
        <v>10</v>
      </c>
      <c r="J34">
        <v>949</v>
      </c>
      <c r="K34">
        <v>441</v>
      </c>
      <c r="L34">
        <v>595</v>
      </c>
      <c r="M34">
        <v>191</v>
      </c>
    </row>
    <row r="35" spans="1:13" x14ac:dyDescent="0.25">
      <c r="A35" t="s">
        <v>11</v>
      </c>
      <c r="B35">
        <v>783</v>
      </c>
      <c r="C35">
        <v>281</v>
      </c>
      <c r="D35">
        <v>722</v>
      </c>
      <c r="E35">
        <v>390</v>
      </c>
      <c r="I35" t="s">
        <v>11</v>
      </c>
      <c r="J35">
        <v>944</v>
      </c>
      <c r="K35">
        <v>458</v>
      </c>
      <c r="L35">
        <v>578</v>
      </c>
      <c r="M35">
        <v>196</v>
      </c>
    </row>
    <row r="36" spans="1:13" x14ac:dyDescent="0.25">
      <c r="A36" t="s">
        <v>14</v>
      </c>
      <c r="B36">
        <v>709</v>
      </c>
      <c r="C36">
        <v>293</v>
      </c>
      <c r="D36">
        <v>710</v>
      </c>
      <c r="E36">
        <v>464</v>
      </c>
      <c r="I36" t="s">
        <v>14</v>
      </c>
      <c r="J36">
        <v>911</v>
      </c>
      <c r="K36">
        <v>421</v>
      </c>
      <c r="L36">
        <v>615</v>
      </c>
      <c r="M36">
        <v>229</v>
      </c>
    </row>
    <row r="37" spans="1:13" x14ac:dyDescent="0.25">
      <c r="A37" t="s">
        <v>11</v>
      </c>
      <c r="B37">
        <v>662</v>
      </c>
      <c r="C37">
        <v>318</v>
      </c>
      <c r="D37">
        <v>685</v>
      </c>
      <c r="E37">
        <v>511</v>
      </c>
      <c r="I37" t="s">
        <v>11</v>
      </c>
      <c r="J37">
        <v>895</v>
      </c>
      <c r="K37">
        <v>442</v>
      </c>
      <c r="L37">
        <v>594</v>
      </c>
      <c r="M37">
        <v>245</v>
      </c>
    </row>
    <row r="39" spans="1:13" x14ac:dyDescent="0.25">
      <c r="I39" t="s">
        <v>21</v>
      </c>
      <c r="J39">
        <f>(J34/2176)*100</f>
        <v>43.612132352941174</v>
      </c>
      <c r="K39">
        <f t="shared" ref="K39:M39" si="2">(K34/2176)*100</f>
        <v>20.266544117647058</v>
      </c>
      <c r="L39">
        <f t="shared" si="2"/>
        <v>27.34375</v>
      </c>
      <c r="M39">
        <f t="shared" si="2"/>
        <v>8.7775735294117645</v>
      </c>
    </row>
    <row r="41" spans="1:13" x14ac:dyDescent="0.25">
      <c r="I41" t="s">
        <v>22</v>
      </c>
      <c r="J41">
        <f>SUM(K34,L34)</f>
        <v>1036</v>
      </c>
      <c r="K41">
        <f>(J41/O30)*100</f>
        <v>47.610294117647058</v>
      </c>
      <c r="L41">
        <f>(K34/J41)*100</f>
        <v>42.567567567567565</v>
      </c>
    </row>
    <row r="42" spans="1:13" x14ac:dyDescent="0.25">
      <c r="J42">
        <f>SUM(K32:L32)</f>
        <v>1036</v>
      </c>
    </row>
    <row r="43" spans="1:13" x14ac:dyDescent="0.25">
      <c r="I43" t="s">
        <v>23</v>
      </c>
      <c r="K43">
        <f>AVERAGE(Table1467[False Positives])</f>
        <v>440</v>
      </c>
      <c r="L43">
        <f>(K43/O30)*100</f>
        <v>20.22058823529412</v>
      </c>
      <c r="M43">
        <f>(K43/J42)*100</f>
        <v>42.471042471042466</v>
      </c>
    </row>
  </sheetData>
  <mergeCells count="4">
    <mergeCell ref="A30:E30"/>
    <mergeCell ref="I30:M30"/>
    <mergeCell ref="A1:G1"/>
    <mergeCell ref="I1:O1"/>
  </mergeCells>
  <phoneticPr fontId="4" type="noConversion"/>
  <conditionalFormatting sqref="B32:B37 D32:D37 J32:J37 L32:L37">
    <cfRule type="colorScale" priority="2">
      <colorScale>
        <cfvo type="min"/>
        <cfvo type="percentile" val="50"/>
        <cfvo type="max"/>
        <color theme="9" tint="0.79998168889431442"/>
        <color theme="9" tint="0.39997558519241921"/>
        <color theme="9" tint="-0.249977111117893"/>
      </colorScale>
    </cfRule>
  </conditionalFormatting>
  <conditionalFormatting sqref="C32:C37 E32:E37 K32:K37 M32:M37">
    <cfRule type="colorScale" priority="1">
      <colorScale>
        <cfvo type="min"/>
        <cfvo type="percentile" val="50"/>
        <cfvo type="max"/>
        <color theme="5" tint="0.59999389629810485"/>
        <color theme="5" tint="0.39997558519241921"/>
        <color theme="5" tint="-0.249977111117893"/>
      </colorScale>
    </cfRule>
  </conditionalFormatting>
  <pageMargins left="0.7" right="0.7" top="0.75" bottom="0.75" header="0.3" footer="0.3"/>
  <pageSetup orientation="portrait" r:id="rId1"/>
  <drawing r:id="rId2"/>
  <tableParts count="4"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Solenn Orozco</dc:creator>
  <cp:lastModifiedBy>Solenn Orozco</cp:lastModifiedBy>
  <dcterms:created xsi:type="dcterms:W3CDTF">2026-03-30T00:59:13Z</dcterms:created>
  <dcterms:modified xsi:type="dcterms:W3CDTF">2026-03-31T20:33:41Z</dcterms:modified>
</cp:coreProperties>
</file>