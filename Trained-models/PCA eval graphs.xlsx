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6e2d661be6e75/Documents/School/UMGC/BIOT670I Capstone Course/REPO/Trained-models/"/>
    </mc:Choice>
  </mc:AlternateContent>
  <xr:revisionPtr revIDLastSave="0" documentId="8_{DAE07A32-F93D-4087-BDA2-576B3F82133A}" xr6:coauthVersionLast="47" xr6:coauthVersionMax="47" xr10:uidLastSave="{00000000-0000-0000-0000-000000000000}"/>
  <bookViews>
    <workbookView xWindow="12150" yWindow="-16365" windowWidth="29040" windowHeight="15720" xr2:uid="{86558FDB-B793-4CDC-A254-DD65741D5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8" i="1"/>
  <c r="M8" i="1"/>
  <c r="N8" i="1"/>
  <c r="O8" i="1"/>
  <c r="J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<sst xmlns="http://schemas.openxmlformats.org/spreadsheetml/2006/main" count="28" uniqueCount="15">
  <si>
    <t>Accuracy</t>
  </si>
  <si>
    <t>Precision</t>
  </si>
  <si>
    <t>Recall</t>
  </si>
  <si>
    <t>F-1 Score</t>
  </si>
  <si>
    <t>ROC AUC</t>
  </si>
  <si>
    <t>SCORES</t>
  </si>
  <si>
    <t>PCA 64</t>
  </si>
  <si>
    <t>Test Set</t>
  </si>
  <si>
    <t>Validation Set</t>
  </si>
  <si>
    <t>PCA 50</t>
  </si>
  <si>
    <t>PCA 40</t>
  </si>
  <si>
    <t>PCA 25</t>
  </si>
  <si>
    <t>PCA 2</t>
  </si>
  <si>
    <t>Sum</t>
  </si>
  <si>
    <t>PCA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</si>
</sst>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9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66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Validation set evaluation</a:t>
            </a:r>
            <a:r>
              <a:rPr lang="en-US" baseline="0"/>
              <a:t>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Sheet1!$B$2:$G$2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0.69489999999999996</c:v>
                </c:pt>
                <c:pt idx="1">
                  <c:v>0.69489999999999996</c:v>
                </c:pt>
                <c:pt idx="2">
                  <c:v>0.69440000000000002</c:v>
                </c:pt>
                <c:pt idx="3">
                  <c:v>0.69159999999999999</c:v>
                </c:pt>
                <c:pt idx="4">
                  <c:v>0.65210000000000001</c:v>
                </c:pt>
                <c:pt idx="5">
                  <c:v>0.61899999999999999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2-4F62-9349-C526BF013D0D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Sheet1!$B$2:$G$2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0.73409999999999997</c:v>
                </c:pt>
                <c:pt idx="1">
                  <c:v>0.73409999999999997</c:v>
                </c:pt>
                <c:pt idx="2">
                  <c:v>0.73299999999999998</c:v>
                </c:pt>
                <c:pt idx="3">
                  <c:v>0.7359</c:v>
                </c:pt>
                <c:pt idx="4">
                  <c:v>0.70760000000000001</c:v>
                </c:pt>
                <c:pt idx="5">
                  <c:v>0.67549999999999999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2-4F62-9349-C526BF013D0D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Sheet1!$B$2:$G$2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0.68030000000000002</c:v>
                </c:pt>
                <c:pt idx="1">
                  <c:v>0.68030000000000002</c:v>
                </c:pt>
                <c:pt idx="2">
                  <c:v>0.68120000000000003</c:v>
                </c:pt>
                <c:pt idx="3">
                  <c:v>0.66749999999999998</c:v>
                </c:pt>
                <c:pt idx="4">
                  <c:v>0.60440000000000005</c:v>
                </c:pt>
                <c:pt idx="5">
                  <c:v>0.56440000000000001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2-4F62-9349-C526BF013D0D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F-1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Sheet1!$B$2:$G$2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0.70620000000000005</c:v>
                </c:pt>
                <c:pt idx="1">
                  <c:v>0.70620000000000005</c:v>
                </c:pt>
                <c:pt idx="2">
                  <c:v>0.70609999999999995</c:v>
                </c:pt>
                <c:pt idx="3">
                  <c:v>0.7</c:v>
                </c:pt>
                <c:pt idx="4">
                  <c:v>0.65200000000000002</c:v>
                </c:pt>
                <c:pt idx="5">
                  <c:v>0.61499999999999999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B2-4F62-9349-C526BF013D0D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ROC 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Sheet1!$B$2:$G$2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Sheet1!$B$7:$G$7</c:f>
              <c:numCache>
                <c:formatCode>General</c:formatCode>
                <c:ptCount val="6"/>
                <c:pt idx="0">
                  <c:v>0.77659999999999996</c:v>
                </c:pt>
                <c:pt idx="1">
                  <c:v>0.77649999999999997</c:v>
                </c:pt>
                <c:pt idx="2">
                  <c:v>0.77580000000000005</c:v>
                </c:pt>
                <c:pt idx="3">
                  <c:v>0.76770000000000005</c:v>
                </c:pt>
                <c:pt idx="4">
                  <c:v>0.72230000000000005</c:v>
                </c:pt>
                <c:pt idx="5">
                  <c:v>0.67210000000000003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2-4F62-9349-C526BF013D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4429615"/>
        <c:axId val="414430575"/>
      </c:barChart>
      <c:lineChart>
        <c:grouping val="standard"/>
        <c:varyColors val="0"/>
        <c:ser>
          <c:idx val="5"/>
          <c:order val="5"/>
          <c:tx>
            <c:strRef>
              <c:f>Sheet1!$A$8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Sheet1!$B$2:$G$2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Sheet1!$B$8:$G$8</c:f>
              <c:numCache>
                <c:formatCode>General</c:formatCode>
                <c:ptCount val="6"/>
                <c:pt idx="0">
                  <c:v>3.5920999999999994</c:v>
                </c:pt>
                <c:pt idx="1">
                  <c:v>3.5919999999999996</c:v>
                </c:pt>
                <c:pt idx="2">
                  <c:v>3.5905000000000005</c:v>
                </c:pt>
                <c:pt idx="3">
                  <c:v>3.5627</c:v>
                </c:pt>
                <c:pt idx="4">
                  <c:v>3.3384000000000005</c:v>
                </c:pt>
                <c:pt idx="5">
                  <c:v>3.1459999999999999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B2-4F62-9349-C526BF013D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4425167"/>
        <c:axId val="584424207"/>
      </c:lineChart>
      <c:catAx>
        <c:axId val="414429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PCA 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30575"/>
        <c:crosses val="autoZero"/>
        <c:auto val="1"/>
        <c:lblAlgn val="ctr"/>
        <c:lblOffset val="100"/>
        <c:noMultiLvlLbl val="0"/>
      </c:catAx>
      <c:valAx>
        <c:axId val="41443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29615"/>
        <c:crosses val="autoZero"/>
        <c:crossBetween val="between"/>
      </c:valAx>
      <c:valAx>
        <c:axId val="5844242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25167"/>
        <c:crosses val="max"/>
        <c:crossBetween val="between"/>
      </c:valAx>
      <c:catAx>
        <c:axId val="584425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44242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set evaluation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Sheet1!$J$2:$O$2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Sheet1!$J$3:$O$3</c:f>
              <c:numCache>
                <c:formatCode>General</c:formatCode>
                <c:ptCount val="6"/>
                <c:pt idx="0">
                  <c:v>0.71279999999999999</c:v>
                </c:pt>
                <c:pt idx="1">
                  <c:v>0.71189999999999998</c:v>
                </c:pt>
                <c:pt idx="2">
                  <c:v>0.70960000000000001</c:v>
                </c:pt>
                <c:pt idx="3">
                  <c:v>0.69940000000000002</c:v>
                </c:pt>
                <c:pt idx="4">
                  <c:v>0.70130000000000003</c:v>
                </c:pt>
                <c:pt idx="5">
                  <c:v>0.68430000000000002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2-46C3-80CF-74BC9B1E8559}"/>
            </c:ext>
          </c:extLst>
        </c:ser>
        <c:ser>
          <c:idx val="1"/>
          <c:order val="1"/>
          <c:tx>
            <c:strRef>
              <c:f>Sheet1!$I$4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Sheet1!$J$2:$O$2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Sheet1!$J$4:$O$4</c:f>
              <c:numCache>
                <c:formatCode>General</c:formatCode>
                <c:ptCount val="6"/>
                <c:pt idx="0">
                  <c:v>0.68510000000000004</c:v>
                </c:pt>
                <c:pt idx="1">
                  <c:v>0.68410000000000004</c:v>
                </c:pt>
                <c:pt idx="2">
                  <c:v>0.68269999999999997</c:v>
                </c:pt>
                <c:pt idx="3">
                  <c:v>0.67330000000000001</c:v>
                </c:pt>
                <c:pt idx="4">
                  <c:v>0.68389999999999995</c:v>
                </c:pt>
                <c:pt idx="5">
                  <c:v>0.6694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2-46C3-80CF-74BC9B1E8559}"/>
            </c:ext>
          </c:extLst>
        </c:ser>
        <c:ser>
          <c:idx val="2"/>
          <c:order val="2"/>
          <c:tx>
            <c:strRef>
              <c:f>Sheet1!$I$5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Sheet1!$J$2:$O$2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Sheet1!$J$5:$O$5</c:f>
              <c:numCache>
                <c:formatCode>General</c:formatCode>
                <c:ptCount val="6"/>
                <c:pt idx="0">
                  <c:v>0.83599999999999997</c:v>
                </c:pt>
                <c:pt idx="1">
                  <c:v>0.83599999999999997</c:v>
                </c:pt>
                <c:pt idx="2">
                  <c:v>0.83250000000000002</c:v>
                </c:pt>
                <c:pt idx="3">
                  <c:v>0.82809999999999995</c:v>
                </c:pt>
                <c:pt idx="4">
                  <c:v>0.79910000000000003</c:v>
                </c:pt>
                <c:pt idx="5">
                  <c:v>0.78510000000000002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2-46C3-80CF-74BC9B1E8559}"/>
            </c:ext>
          </c:extLst>
        </c:ser>
        <c:ser>
          <c:idx val="3"/>
          <c:order val="3"/>
          <c:tx>
            <c:strRef>
              <c:f>Sheet1!$I$6</c:f>
              <c:strCache>
                <c:ptCount val="1"/>
                <c:pt idx="0">
                  <c:v>F-1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Sheet1!$J$2:$O$2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Sheet1!$J$6:$O$6</c:f>
              <c:numCache>
                <c:formatCode>General</c:formatCode>
                <c:ptCount val="6"/>
                <c:pt idx="0">
                  <c:v>0.75309999999999999</c:v>
                </c:pt>
                <c:pt idx="1">
                  <c:v>0.75249999999999995</c:v>
                </c:pt>
                <c:pt idx="2">
                  <c:v>0.75019999999999998</c:v>
                </c:pt>
                <c:pt idx="3">
                  <c:v>0.74270000000000003</c:v>
                </c:pt>
                <c:pt idx="4">
                  <c:v>0.73709999999999998</c:v>
                </c:pt>
                <c:pt idx="5">
                  <c:v>0.72260000000000002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2-46C3-80CF-74BC9B1E8559}"/>
            </c:ext>
          </c:extLst>
        </c:ser>
        <c:ser>
          <c:idx val="4"/>
          <c:order val="4"/>
          <c:tx>
            <c:strRef>
              <c:f>Sheet1!$I$7</c:f>
              <c:strCache>
                <c:ptCount val="1"/>
                <c:pt idx="0">
                  <c:v>ROC 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Sheet1!$J$2:$O$2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Sheet1!$J$7:$O$7</c:f>
              <c:numCache>
                <c:formatCode>General</c:formatCode>
                <c:ptCount val="6"/>
                <c:pt idx="0">
                  <c:v>0.79930000000000001</c:v>
                </c:pt>
                <c:pt idx="1">
                  <c:v>0.79930000000000001</c:v>
                </c:pt>
                <c:pt idx="2">
                  <c:v>0.79949999999999999</c:v>
                </c:pt>
                <c:pt idx="3">
                  <c:v>0.78959999999999997</c:v>
                </c:pt>
                <c:pt idx="4">
                  <c:v>0.76</c:v>
                </c:pt>
                <c:pt idx="5">
                  <c:v>0.76719999999999999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2-46C3-80CF-74BC9B1E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2972415"/>
        <c:axId val="582971455"/>
      </c:barChart>
      <c:lineChart>
        <c:grouping val="standard"/>
        <c:varyColors val="0"/>
        <c:ser>
          <c:idx val="5"/>
          <c:order val="5"/>
          <c:tx>
            <c:strRef>
              <c:f>Sheet1!$I$8</c:f>
              <c:strCache>
                <c:ptCount val="1"/>
                <c:pt idx="0">
                  <c:v>Sum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Sheet1!$J$2:$O$2</c:f>
              <c:strCache>
                <c:ptCount val="6"/>
                <c:pt idx="0">
                  <c:v>PCA 64</c:v>
                </c:pt>
                <c:pt idx="1">
                  <c:v>PCA 50</c:v>
                </c:pt>
                <c:pt idx="2">
                  <c:v>PCA 40</c:v>
                </c:pt>
                <c:pt idx="3">
                  <c:v>PCA 25</c:v>
                </c:pt>
                <c:pt idx="4">
                  <c:v>PCA 10</c:v>
                </c:pt>
                <c:pt idx="5">
                  <c:v>PCA 2</c:v>
                </c:pt>
              </c:strCache>
            </c:strRef>
          </c:cat>
          <c:val>
            <c:numRef>
              <c:f>Sheet1!$J$8:$O$8</c:f>
              <c:numCache>
                <c:formatCode>General</c:formatCode>
                <c:ptCount val="6"/>
                <c:pt idx="0">
                  <c:v>3.7862999999999998</c:v>
                </c:pt>
                <c:pt idx="1">
                  <c:v>3.7837999999999998</c:v>
                </c:pt>
                <c:pt idx="2">
                  <c:v>3.7745000000000002</c:v>
                </c:pt>
                <c:pt idx="3">
                  <c:v>3.7331000000000003</c:v>
                </c:pt>
                <c:pt idx="4">
                  <c:v>3.6814</c:v>
                </c:pt>
                <c:pt idx="5">
                  <c:v>3.6285999999999996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C2-46C3-80CF-74BC9B1E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156639"/>
        <c:axId val="616145599"/>
      </c:lineChart>
      <c:catAx>
        <c:axId val="58297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PCA 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71455"/>
        <c:crosses val="autoZero"/>
        <c:auto val="1"/>
        <c:lblAlgn val="ctr"/>
        <c:lblOffset val="100"/>
        <c:noMultiLvlLbl val="0"/>
      </c:catAx>
      <c:valAx>
        <c:axId val="5829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72415"/>
        <c:crosses val="autoZero"/>
        <c:crossBetween val="between"/>
      </c:valAx>
      <c:valAx>
        <c:axId val="6161455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156639"/>
        <c:crosses val="max"/>
        <c:crossBetween val="between"/>
      </c:valAx>
      <c:catAx>
        <c:axId val="616156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61455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23812</xdr:rowOff>
    </xdr:from>
    <xdr:to>
      <xdr:col>5</xdr:col>
      <xdr:colOff>381000</xdr:colOff>
      <xdr:row>25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B203C0-6E8B-5476-94E1-442351B67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10</xdr:row>
      <xdr:rowOff>128587</xdr:rowOff>
    </xdr:from>
    <xdr:to>
      <xdr:col>12</xdr:col>
      <xdr:colOff>504825</xdr:colOff>
      <xdr:row>25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C852FF-A05C-2C2F-2CF9-53098F6F8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F4665-B1BE-410B-9F1D-0FDC2A1A283D}" name="Table1" displayName="Table1" ref="A2:G8" totalsRowShown="0">
  <autoFilter ref="A2:G8" xr:uid="{43EF4665-B1BE-410B-9F1D-0FDC2A1A283D}"/>
  <tableColumns count="7">
    <tableColumn id="1" xr3:uid="{A0175601-023C-44A9-AFAD-E28987FCC334}" name="SCORES"/>
    <tableColumn id="2" xr3:uid="{999830DA-0E1F-4583-B96F-121DEB13FB6B}" name="PCA 64"/>
    <tableColumn id="3" xr3:uid="{BB2D61D1-A81C-476F-85BB-08262E9BEBA6}" name="PCA 50"/>
    <tableColumn id="4" xr3:uid="{B17438E1-8680-4274-B8C9-6E8EAFC23BFD}" name="PCA 40"/>
    <tableColumn id="5" xr3:uid="{77519B03-7C10-4C44-AF92-E09118C8FDBF}" name="PCA 25"/>
    <tableColumn id="6" xr3:uid="{0D7DE1D4-867D-4054-8409-7E3E2DE3EEFD}" name="PCA 10"/>
    <tableColumn id="7" xr3:uid="{B60B46C9-0BDA-46EF-AA47-775D5128D66F}" name="PCA 2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67B24-8FE4-476E-9C76-7247D924C92C}" name="Table2" displayName="Table2" ref="I2:O8" totalsRowShown="0" headerRowDxfId="1" dataDxfId="0">
  <autoFilter ref="I2:O8" xr:uid="{AC467B24-8FE4-476E-9C76-7247D924C92C}"/>
  <tableColumns count="7">
    <tableColumn id="1" xr3:uid="{44E9CBAF-4134-4EEC-85AF-E84FB1E8A41A}" name="SCORES" dataDxfId="8"/>
    <tableColumn id="2" xr3:uid="{DB4EE74C-A6D4-44D4-B434-3BE4BD1BD32C}" name="PCA 64" dataDxfId="7"/>
    <tableColumn id="3" xr3:uid="{BA1B3766-B0FC-4025-A027-560E84028D7C}" name="PCA 50" dataDxfId="6"/>
    <tableColumn id="4" xr3:uid="{50C2FD1F-33D6-4F91-9263-325E7EE30CCB}" name="PCA 40" dataDxfId="5"/>
    <tableColumn id="5" xr3:uid="{66CBA766-D30C-4246-AEE2-0B417E5A5CC0}" name="PCA 25" dataDxfId="4"/>
    <tableColumn id="6" xr3:uid="{BC871FD5-BBCC-44E9-9631-ADFA1822F1CE}" name="PCA 10" dataDxfId="3"/>
    <tableColumn id="7" xr3:uid="{A2194C3B-16DA-4C70-AE3C-8EED8D7F087B}" name="PCA 2" dataDxfId="2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85C2-2EDB-454D-8ADD-270B8EA360B9}">
  <dimension ref="A1:O8"/>
  <sheetViews>
    <sheetView tabSelected="1" workbookViewId="0">
      <selection activeCell="O19" sqref="O19"/>
    </sheetView>
  </sheetViews>
  <sheetFormatPr defaultRowHeight="15" x14ac:dyDescent="0.25"/>
  <cols>
    <col min="1" max="1" width="12.28515625" customWidth="1"/>
    <col min="2" max="7" width="15.7109375" customWidth="1"/>
    <col min="8" max="8" width="3.140625" customWidth="1"/>
    <col min="9" max="9" width="11.7109375" customWidth="1"/>
    <col min="10" max="15" width="15.7109375" customWidth="1"/>
  </cols>
  <sheetData>
    <row r="1" spans="1:15" x14ac:dyDescent="0.25">
      <c r="A1" s="1" t="s">
        <v>8</v>
      </c>
      <c r="B1" s="1"/>
      <c r="C1" s="1"/>
      <c r="D1" s="1"/>
      <c r="E1" s="1"/>
      <c r="F1" s="1"/>
      <c r="G1" s="1"/>
      <c r="I1" s="1" t="s">
        <v>7</v>
      </c>
      <c r="J1" s="1"/>
      <c r="K1" s="1"/>
      <c r="L1" s="1"/>
      <c r="M1" s="1"/>
      <c r="N1" s="1"/>
      <c r="O1" s="1"/>
    </row>
    <row r="2" spans="1:15" x14ac:dyDescent="0.25">
      <c r="A2" t="s">
        <v>5</v>
      </c>
      <c r="B2" t="s">
        <v>6</v>
      </c>
      <c r="C2" t="s">
        <v>9</v>
      </c>
      <c r="D2" t="s">
        <v>10</v>
      </c>
      <c r="E2" t="s">
        <v>11</v>
      </c>
      <c r="F2" t="s">
        <v>14</v>
      </c>
      <c r="G2" t="s">
        <v>12</v>
      </c>
      <c r="I2" s="2" t="s">
        <v>5</v>
      </c>
      <c r="J2" s="2" t="s">
        <v>6</v>
      </c>
      <c r="K2" s="2" t="s">
        <v>9</v>
      </c>
      <c r="L2" s="2" t="s">
        <v>10</v>
      </c>
      <c r="M2" s="2" t="s">
        <v>11</v>
      </c>
      <c r="N2" s="2" t="s">
        <v>14</v>
      </c>
      <c r="O2" s="2" t="s">
        <v>12</v>
      </c>
    </row>
    <row r="3" spans="1:15" x14ac:dyDescent="0.25">
      <c r="A3" t="s">
        <v>0</v>
      </c>
      <c r="B3">
        <v>0.69489999999999996</v>
      </c>
      <c r="C3">
        <v>0.69489999999999996</v>
      </c>
      <c r="D3">
        <v>0.69440000000000002</v>
      </c>
      <c r="E3">
        <v>0.69159999999999999</v>
      </c>
      <c r="F3">
        <v>0.65210000000000001</v>
      </c>
      <c r="G3">
        <v>0.61899999999999999</v>
      </c>
      <c r="I3" s="2" t="s">
        <v>0</v>
      </c>
      <c r="J3" s="2">
        <v>0.71279999999999999</v>
      </c>
      <c r="K3" s="2">
        <v>0.71189999999999998</v>
      </c>
      <c r="L3" s="2">
        <v>0.70960000000000001</v>
      </c>
      <c r="M3" s="2">
        <v>0.69940000000000002</v>
      </c>
      <c r="N3" s="2">
        <v>0.70130000000000003</v>
      </c>
      <c r="O3" s="2">
        <v>0.68430000000000002</v>
      </c>
    </row>
    <row r="4" spans="1:15" x14ac:dyDescent="0.25">
      <c r="A4" t="s">
        <v>1</v>
      </c>
      <c r="B4">
        <v>0.73409999999999997</v>
      </c>
      <c r="C4">
        <v>0.73409999999999997</v>
      </c>
      <c r="D4">
        <v>0.73299999999999998</v>
      </c>
      <c r="E4">
        <v>0.7359</v>
      </c>
      <c r="F4">
        <v>0.70760000000000001</v>
      </c>
      <c r="G4">
        <v>0.67549999999999999</v>
      </c>
      <c r="I4" s="2" t="s">
        <v>1</v>
      </c>
      <c r="J4" s="2">
        <v>0.68510000000000004</v>
      </c>
      <c r="K4" s="2">
        <v>0.68410000000000004</v>
      </c>
      <c r="L4" s="2">
        <v>0.68269999999999997</v>
      </c>
      <c r="M4" s="2">
        <v>0.67330000000000001</v>
      </c>
      <c r="N4" s="2">
        <v>0.68389999999999995</v>
      </c>
      <c r="O4" s="2">
        <v>0.6694</v>
      </c>
    </row>
    <row r="5" spans="1:15" x14ac:dyDescent="0.25">
      <c r="A5" t="s">
        <v>2</v>
      </c>
      <c r="B5">
        <v>0.68030000000000002</v>
      </c>
      <c r="C5">
        <v>0.68030000000000002</v>
      </c>
      <c r="D5">
        <v>0.68120000000000003</v>
      </c>
      <c r="E5">
        <v>0.66749999999999998</v>
      </c>
      <c r="F5">
        <v>0.60440000000000005</v>
      </c>
      <c r="G5">
        <v>0.56440000000000001</v>
      </c>
      <c r="I5" s="2" t="s">
        <v>2</v>
      </c>
      <c r="J5" s="2">
        <v>0.83599999999999997</v>
      </c>
      <c r="K5" s="2">
        <v>0.83599999999999997</v>
      </c>
      <c r="L5" s="2">
        <v>0.83250000000000002</v>
      </c>
      <c r="M5" s="2">
        <v>0.82809999999999995</v>
      </c>
      <c r="N5" s="2">
        <v>0.79910000000000003</v>
      </c>
      <c r="O5" s="2">
        <v>0.78510000000000002</v>
      </c>
    </row>
    <row r="6" spans="1:15" x14ac:dyDescent="0.25">
      <c r="A6" t="s">
        <v>3</v>
      </c>
      <c r="B6">
        <v>0.70620000000000005</v>
      </c>
      <c r="C6">
        <v>0.70620000000000005</v>
      </c>
      <c r="D6">
        <v>0.70609999999999995</v>
      </c>
      <c r="E6">
        <v>0.7</v>
      </c>
      <c r="F6">
        <v>0.65200000000000002</v>
      </c>
      <c r="G6">
        <v>0.61499999999999999</v>
      </c>
      <c r="I6" s="2" t="s">
        <v>3</v>
      </c>
      <c r="J6" s="2">
        <v>0.75309999999999999</v>
      </c>
      <c r="K6" s="2">
        <v>0.75249999999999995</v>
      </c>
      <c r="L6" s="2">
        <v>0.75019999999999998</v>
      </c>
      <c r="M6" s="2">
        <v>0.74270000000000003</v>
      </c>
      <c r="N6" s="2">
        <v>0.73709999999999998</v>
      </c>
      <c r="O6" s="2">
        <v>0.72260000000000002</v>
      </c>
    </row>
    <row r="7" spans="1:15" x14ac:dyDescent="0.25">
      <c r="A7" t="s">
        <v>4</v>
      </c>
      <c r="B7">
        <v>0.77659999999999996</v>
      </c>
      <c r="C7">
        <v>0.77649999999999997</v>
      </c>
      <c r="D7">
        <v>0.77580000000000005</v>
      </c>
      <c r="E7">
        <v>0.76770000000000005</v>
      </c>
      <c r="F7">
        <v>0.72230000000000005</v>
      </c>
      <c r="G7">
        <v>0.67210000000000003</v>
      </c>
      <c r="I7" s="2" t="s">
        <v>4</v>
      </c>
      <c r="J7" s="2">
        <v>0.79930000000000001</v>
      </c>
      <c r="K7" s="2">
        <v>0.79930000000000001</v>
      </c>
      <c r="L7" s="2">
        <v>0.79949999999999999</v>
      </c>
      <c r="M7" s="2">
        <v>0.78959999999999997</v>
      </c>
      <c r="N7" s="2">
        <v>0.76</v>
      </c>
      <c r="O7" s="2">
        <v>0.76719999999999999</v>
      </c>
    </row>
    <row r="8" spans="1:15" x14ac:dyDescent="0.25">
      <c r="A8" t="s">
        <v>13</v>
      </c>
      <c r="B8">
        <f>SUM(B3:B7)</f>
        <v>3.5920999999999994</v>
      </c>
      <c r="C8">
        <f t="shared" ref="C8:G8" si="0">SUM(C3:C7)</f>
        <v>3.5919999999999996</v>
      </c>
      <c r="D8">
        <f t="shared" si="0"/>
        <v>3.5905000000000005</v>
      </c>
      <c r="E8">
        <f t="shared" si="0"/>
        <v>3.5627</v>
      </c>
      <c r="F8">
        <f t="shared" si="0"/>
        <v>3.3384000000000005</v>
      </c>
      <c r="G8">
        <f t="shared" si="0"/>
        <v>3.1459999999999999</v>
      </c>
      <c r="I8" s="2" t="s">
        <v>13</v>
      </c>
      <c r="J8" s="2">
        <f>SUM(J3:J7)</f>
        <v>3.7862999999999998</v>
      </c>
      <c r="K8" s="2">
        <f t="shared" ref="K8:O8" si="1">SUM(K3:K7)</f>
        <v>3.7837999999999998</v>
      </c>
      <c r="L8" s="2">
        <f t="shared" si="1"/>
        <v>3.7745000000000002</v>
      </c>
      <c r="M8" s="2">
        <f t="shared" si="1"/>
        <v>3.7331000000000003</v>
      </c>
      <c r="N8" s="2">
        <f t="shared" si="1"/>
        <v>3.6814</v>
      </c>
      <c r="O8" s="2">
        <f t="shared" si="1"/>
        <v>3.6285999999999996</v>
      </c>
    </row>
  </sheetData>
  <mergeCells count="2">
    <mergeCell ref="A1:G1"/>
    <mergeCell ref="I1:O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Solenn Orozco</dc:creator>
  <cp:lastModifiedBy>Solenn Orozco</cp:lastModifiedBy>
  <dcterms:created xsi:type="dcterms:W3CDTF">2026-03-30T00:59:13Z</dcterms:created>
  <dcterms:modified xsi:type="dcterms:W3CDTF">2026-03-30T01:34:40Z</dcterms:modified>
</cp:coreProperties>
</file>